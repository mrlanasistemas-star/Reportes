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esus Arizmendi\Downloads\"/>
    </mc:Choice>
  </mc:AlternateContent>
  <xr:revisionPtr revIDLastSave="0" documentId="13_ncr:1_{FF8FF5D1-AE42-425F-B5A5-E69D1B39DB7A}" xr6:coauthVersionLast="47" xr6:coauthVersionMax="47" xr10:uidLastSave="{00000000-0000-0000-0000-000000000000}"/>
  <bookViews>
    <workbookView xWindow="-105" yWindow="0" windowWidth="16695" windowHeight="15585" tabRatio="500" xr2:uid="{00000000-000D-0000-FFFF-FFFF00000000}"/>
  </bookViews>
  <sheets>
    <sheet name="Directorio" sheetId="1" r:id="rId1"/>
    <sheet name="Resumen" sheetId="2" r:id="rId2"/>
  </sheets>
  <definedNames>
    <definedName name="_xlnm.Print_Area" localSheetId="0">Directorio!$A$5:$F$65</definedName>
    <definedName name="_xlnm.Print_Titles" localSheetId="0">Directorio!$11:$11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2" i="2" l="1"/>
  <c r="E22" i="2"/>
  <c r="D22" i="2"/>
  <c r="C22" i="2"/>
  <c r="F21" i="2"/>
  <c r="E21" i="2"/>
  <c r="D21" i="2"/>
  <c r="C21" i="2"/>
  <c r="F20" i="2"/>
  <c r="E20" i="2"/>
  <c r="D20" i="2"/>
  <c r="C20" i="2"/>
  <c r="F19" i="2"/>
  <c r="E19" i="2"/>
  <c r="D19" i="2"/>
  <c r="C19" i="2"/>
  <c r="F18" i="2"/>
  <c r="E18" i="2"/>
  <c r="D18" i="2"/>
  <c r="C18" i="2"/>
  <c r="F17" i="2"/>
  <c r="E17" i="2"/>
  <c r="D17" i="2"/>
  <c r="C17" i="2"/>
  <c r="F16" i="2"/>
  <c r="E16" i="2"/>
  <c r="D16" i="2"/>
  <c r="C16" i="2"/>
  <c r="F15" i="2"/>
  <c r="E15" i="2"/>
  <c r="D15" i="2"/>
  <c r="C15" i="2"/>
  <c r="F14" i="2"/>
  <c r="E14" i="2"/>
  <c r="D14" i="2"/>
  <c r="C14" i="2"/>
  <c r="F13" i="2"/>
  <c r="E13" i="2"/>
  <c r="D13" i="2"/>
  <c r="C13" i="2"/>
  <c r="F12" i="2"/>
  <c r="E12" i="2"/>
  <c r="D12" i="2"/>
  <c r="C12" i="2"/>
  <c r="F7" i="2"/>
  <c r="E7" i="2"/>
  <c r="D7" i="2"/>
  <c r="C7" i="2"/>
  <c r="B7" i="2"/>
  <c r="E54" i="1"/>
  <c r="E49" i="1"/>
  <c r="E45" i="1"/>
  <c r="E40" i="1"/>
  <c r="E36" i="1"/>
  <c r="E32" i="1"/>
  <c r="E28" i="1"/>
  <c r="E24" i="1"/>
  <c r="E20" i="1"/>
  <c r="E16" i="1"/>
  <c r="E12" i="1"/>
  <c r="G14" i="2" l="1"/>
  <c r="G18" i="2"/>
  <c r="F23" i="2"/>
  <c r="G21" i="2"/>
  <c r="G22" i="2"/>
  <c r="G15" i="2"/>
  <c r="G13" i="2"/>
  <c r="G19" i="2"/>
  <c r="G17" i="2"/>
  <c r="E23" i="2"/>
  <c r="D23" i="2"/>
  <c r="G20" i="2"/>
  <c r="G16" i="2"/>
  <c r="G12" i="2"/>
  <c r="C23" i="2"/>
  <c r="G23" i="2" l="1"/>
</calcChain>
</file>

<file path=xl/sharedStrings.xml><?xml version="1.0" encoding="utf-8"?>
<sst xmlns="http://schemas.openxmlformats.org/spreadsheetml/2006/main" count="172" uniqueCount="122">
  <si>
    <t>DIRECTORIO DE GERENCIAS Y COORDINACIONES</t>
  </si>
  <si>
    <t>Productos y Servicios Mr. Lana, S.A.P.I. de C.V.  ·  Gerencia de Recursos Humanos</t>
  </si>
  <si>
    <t>Actualizado: 23 de julio de 2026</t>
  </si>
  <si>
    <t>NO. NOI</t>
  </si>
  <si>
    <t>NOMBRE DEL COLABORADOR</t>
  </si>
  <si>
    <t>SUCURSAL</t>
  </si>
  <si>
    <t>PUESTO</t>
  </si>
  <si>
    <t>CORREO INSTITUCIONAL</t>
  </si>
  <si>
    <t>NO. TELEFÓNICO</t>
  </si>
  <si>
    <t>▎ SUCURSAL ATLACOMULCO</t>
  </si>
  <si>
    <t>ELIOT SERRANO SANCHEZ</t>
  </si>
  <si>
    <t>ATLACOMULCO</t>
  </si>
  <si>
    <t>SUBGERENTE</t>
  </si>
  <si>
    <t>eliot.serrano@mr-lana.com</t>
  </si>
  <si>
    <t>712 225 6115</t>
  </si>
  <si>
    <t>ANGELICA AZUCENA GONZALEZ</t>
  </si>
  <si>
    <t>COORDINADORA</t>
  </si>
  <si>
    <t>722 355 9570</t>
  </si>
  <si>
    <t>▎ SUCURSAL ATLIXCO</t>
  </si>
  <si>
    <t>LUIS ANGEL LOPEZ RAMIREZ</t>
  </si>
  <si>
    <t>ATLIXCO</t>
  </si>
  <si>
    <t>GERENTE</t>
  </si>
  <si>
    <t>luis.lopez@mr-lana.com</t>
  </si>
  <si>
    <t>SIN REGISTRO</t>
  </si>
  <si>
    <t>▎ SUCURSAL CUERNAVACA</t>
  </si>
  <si>
    <t>CUERNAVACA</t>
  </si>
  <si>
    <t>MARIBEL DIAZ SUAREZ</t>
  </si>
  <si>
    <t>maribel.diaz@mr-lana.com</t>
  </si>
  <si>
    <t>777 632 5091</t>
  </si>
  <si>
    <t>▎ SUCURSAL CÓRDOBA</t>
  </si>
  <si>
    <t>RICARDO ROCHA MORA</t>
  </si>
  <si>
    <t>CÓRDOBA</t>
  </si>
  <si>
    <t>ricardo.rocha@mr-lana.com</t>
  </si>
  <si>
    <t>271 213 8711</t>
  </si>
  <si>
    <t>HESIQUIO MARTINEZ ZUÑIGA</t>
  </si>
  <si>
    <t>hesiquio.martinez@mr-lana.com</t>
  </si>
  <si>
    <t>271 342 8403</t>
  </si>
  <si>
    <t>▎ SUCURSAL HUAMANTLA</t>
  </si>
  <si>
    <t>JUAN ANGEL GONZALEZ RUIZ</t>
  </si>
  <si>
    <t>HUAMANTLA</t>
  </si>
  <si>
    <t>juan.gonzalez@mr-lana.com</t>
  </si>
  <si>
    <t>247 118 3176</t>
  </si>
  <si>
    <t>ROSALINDA MARIBEL CUELLAR</t>
  </si>
  <si>
    <t>rosalinda.cuellar@mr-lana.com</t>
  </si>
  <si>
    <t>▎ SUCURSAL IXTLAHUACA</t>
  </si>
  <si>
    <t>LUIS GARAY PEREZ</t>
  </si>
  <si>
    <t>IXTLAHUACA</t>
  </si>
  <si>
    <t>luis.garay@mr-lana.com</t>
  </si>
  <si>
    <t>ANA LAURA SANCHEZ ALDAMA</t>
  </si>
  <si>
    <t>ana.sanchez@mr-lana.com</t>
  </si>
  <si>
    <t>▎ SUCURSAL MIACATLÁN</t>
  </si>
  <si>
    <t>MIACATLÁN</t>
  </si>
  <si>
    <t>MONICA OCAMPO NIETO</t>
  </si>
  <si>
    <t>monica.ocampo@mr-lana.com</t>
  </si>
  <si>
    <t>▎ SUCURSAL ORIZABA</t>
  </si>
  <si>
    <t>IVAN QUEVEDO LOPEZ</t>
  </si>
  <si>
    <t>ORIZABA</t>
  </si>
  <si>
    <t>ivan.quevedo@mr-lana.com</t>
  </si>
  <si>
    <t>272 207 7149</t>
  </si>
  <si>
    <t>LIZETTE ALEJANDRA AGUILAR</t>
  </si>
  <si>
    <t>lizette.aguilar@mr-lana.com</t>
  </si>
  <si>
    <t>ALEJANDRA ROSAS JUAREZ</t>
  </si>
  <si>
    <t>alejandra.rosas@mr-lana.com</t>
  </si>
  <si>
    <t>272 104 2228</t>
  </si>
  <si>
    <t>▎ SUCURSAL SAN LUIS POTOSÍ</t>
  </si>
  <si>
    <t>SAN LUIS POTOSÍ</t>
  </si>
  <si>
    <t>MERCEDES RODRIGUEZ CAMPOS</t>
  </si>
  <si>
    <t>mercedes.rodriguez@mr-lana.com</t>
  </si>
  <si>
    <t>444 222 5854</t>
  </si>
  <si>
    <t>▎ SUCURSAL TLAXCALA</t>
  </si>
  <si>
    <t>TLAXCALA</t>
  </si>
  <si>
    <t>MARLEN RAZO SALDAÑA</t>
  </si>
  <si>
    <t>MARICELA FLORES CABRERA</t>
  </si>
  <si>
    <t>maricela.flores@mr-lana.com</t>
  </si>
  <si>
    <t>▎ SUCURSAL TULA</t>
  </si>
  <si>
    <t>MONICA ANA KAREN GARCIA</t>
  </si>
  <si>
    <t>TULA</t>
  </si>
  <si>
    <t>GERENTE REGIONAL</t>
  </si>
  <si>
    <t>monica.garcia@mr-lana.com</t>
  </si>
  <si>
    <t>55 3938 9689</t>
  </si>
  <si>
    <t>LIDIA MONTSERRAT JIMENEZ</t>
  </si>
  <si>
    <t>lidia.jimenez@mr-lana.com</t>
  </si>
  <si>
    <t>NOTAS Y OBSERVACIONES</t>
  </si>
  <si>
    <t>1. El directorio está seccionado por sucursal; cada banda verde indica el inicio de una sucursal y muestra el total de colaboradores adscritos.</t>
  </si>
  <si>
    <t>2. Los registros sin número telefónico se identifican como "SIN REGISTRO"; se solicita a cada sucursal completar la información (14 casos).</t>
  </si>
  <si>
    <t>3. Se normalizó la acentuación de sucursales y se amplió "SAN LUIS P" a "SAN LUIS POTOSÍ". Nombres, números NOI y correos se conservan tal como fueron proporcionados.</t>
  </si>
  <si>
    <t>4. Verificar dos correos que no corresponden al nombre registrado: ANGELICA AZUCENA GONZALEZ (angelica.granados@) y MARLEN RAZO SALDAÑA (marlene.gonzalez@).</t>
  </si>
  <si>
    <t>5. Los conteos por sucursal y los indicadores de la hoja RESUMEN se calculan con fórmulas: toda alta, baja o cambio se refleja automáticamente.</t>
  </si>
  <si>
    <t>6. Fuente: base de datos de personal de la Gerencia de Recursos Humanos (archivo REPORTE_GERENTES.xlsx). Paleta institucional tomada de la hoja membretada interna.</t>
  </si>
  <si>
    <t>RESUMEN EJECUTIVO · ESTRUCTURA DE MANDOS POR SUCURSAL</t>
  </si>
  <si>
    <t>Productos y Servicios Mr. Lana, S.A.P.I. de C.V.  ·  Corte al 23 de julio de 2026</t>
  </si>
  <si>
    <t>COLABORADORES</t>
  </si>
  <si>
    <t>SUCURSALES</t>
  </si>
  <si>
    <t>GERENCIAS</t>
  </si>
  <si>
    <t>COORDINACIONES</t>
  </si>
  <si>
    <t>SIN TELÉFONO</t>
  </si>
  <si>
    <t>DISTRIBUCIÓN DE PLANTILLA POR SUCURSAL Y PUESTO</t>
  </si>
  <si>
    <t>COORDINACIÓN</t>
  </si>
  <si>
    <t>TOTAL</t>
  </si>
  <si>
    <t>TOTAL GENERAL</t>
  </si>
  <si>
    <t>Semáforo: las celdas en rojo (0) señalan puestos de mando no cubiertos en la sucursal correspondiente; en verde, plaza ocupada.</t>
  </si>
  <si>
    <t>Todos los indicadores se calculan con fórmulas sobre la hoja DIRECTORIO; cualquier alta, baja o cambio se refleja de forma automática.</t>
  </si>
  <si>
    <t>712 688 1615</t>
  </si>
  <si>
    <t>737 373 54 86</t>
  </si>
  <si>
    <t>246 466 75 87</t>
  </si>
  <si>
    <t>MARIA DEL CARMEN GODOY GONZAGA</t>
  </si>
  <si>
    <t>maria.godoy@mr-lana.com</t>
  </si>
  <si>
    <t>RAMSES LEONIDES ROJAS PEREZ</t>
  </si>
  <si>
    <t>52 1 222 238 8497</t>
  </si>
  <si>
    <t>jaime.valverde@mr-lana.com</t>
  </si>
  <si>
    <t>777 961 3528</t>
  </si>
  <si>
    <t>JAIME VALVERDE ERIVES</t>
  </si>
  <si>
    <t>JOSE OMAR GONZALEZ HUERTA</t>
  </si>
  <si>
    <t>HUGO SAUL HERRERA RAFFUL</t>
  </si>
  <si>
    <t>ISAIAS FARIAS BONILLA</t>
  </si>
  <si>
    <t xml:space="preserve">GERENTE </t>
  </si>
  <si>
    <t>ramses.rojas@mr-lana.com</t>
  </si>
  <si>
    <t>jose.gonzalez@mr-lana.com</t>
  </si>
  <si>
    <t>hugo.herrera@mr-lana.com</t>
  </si>
  <si>
    <t>isaias.farias@mr-lana.com</t>
  </si>
  <si>
    <t>marlen.razo@mr-lana.com</t>
  </si>
  <si>
    <t>angelica.granados@mr-lana.com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</si>
</sst>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sz val="10.5"/>
      <color rgb="FFE9D6B0"/>
      <name val="Arial"/>
      <family val="2"/>
    </font>
    <font>
      <b/>
      <sz val="9.5"/>
      <color rgb="FF0D3E43"/>
      <name val="Arial"/>
      <family val="2"/>
    </font>
    <font>
      <b/>
      <sz val="9.5"/>
      <color rgb="FFE9D6B0"/>
      <name val="Arial"/>
      <family val="2"/>
    </font>
    <font>
      <b/>
      <sz val="11"/>
      <color rgb="FFFFFFFF"/>
      <name val="Arial"/>
      <family val="2"/>
    </font>
    <font>
      <b/>
      <sz val="10"/>
      <color rgb="FF754711"/>
      <name val="Arial"/>
      <family val="2"/>
    </font>
    <font>
      <sz val="10"/>
      <color rgb="FF1F2A2C"/>
      <name val="Arial"/>
      <family val="2"/>
    </font>
    <font>
      <sz val="9.5"/>
      <color rgb="FF6E7B7C"/>
      <name val="Arial"/>
      <family val="2"/>
    </font>
    <font>
      <b/>
      <sz val="9.5"/>
      <color rgb="FF1F2A2C"/>
      <name val="Arial"/>
      <family val="2"/>
    </font>
    <font>
      <u/>
      <sz val="9.5"/>
      <color rgb="FF0D3E43"/>
      <name val="Arial"/>
      <family val="2"/>
    </font>
    <font>
      <i/>
      <sz val="9"/>
      <color rgb="FF9B2C2C"/>
      <name val="Arial"/>
      <family val="2"/>
    </font>
    <font>
      <sz val="8.5"/>
      <color rgb="FF6E7B7C"/>
      <name val="Arial"/>
      <family val="2"/>
    </font>
    <font>
      <b/>
      <sz val="16"/>
      <color rgb="FFFFFFFF"/>
      <name val="Arial"/>
      <family val="2"/>
    </font>
    <font>
      <sz val="10"/>
      <color rgb="FFE9D6B0"/>
      <name val="Arial"/>
      <family val="2"/>
    </font>
    <font>
      <b/>
      <sz val="22"/>
      <color rgb="FF083337"/>
      <name val="Arial"/>
      <family val="2"/>
    </font>
    <font>
      <b/>
      <sz val="22"/>
      <color rgb="FF225C54"/>
      <name val="Arial"/>
      <family val="2"/>
    </font>
    <font>
      <b/>
      <sz val="22"/>
      <color rgb="FF754711"/>
      <name val="Arial"/>
      <family val="2"/>
    </font>
    <font>
      <b/>
      <sz val="22"/>
      <color rgb="FF2F5937"/>
      <name val="Arial"/>
      <family val="2"/>
    </font>
    <font>
      <b/>
      <sz val="22"/>
      <color rgb="FF9B2C2C"/>
      <name val="Arial"/>
      <family val="2"/>
    </font>
    <font>
      <b/>
      <sz val="8.5"/>
      <color rgb="FF6E7B7C"/>
      <name val="Arial"/>
      <family val="2"/>
    </font>
    <font>
      <b/>
      <sz val="11"/>
      <color rgb="FF0D3E43"/>
      <name val="Arial"/>
      <family val="2"/>
    </font>
    <font>
      <b/>
      <sz val="9"/>
      <color rgb="FFE9D6B0"/>
      <name val="Arial"/>
      <family val="2"/>
    </font>
    <font>
      <b/>
      <sz val="10"/>
      <color rgb="FF1F2A2C"/>
      <name val="Arial"/>
      <family val="2"/>
    </font>
    <font>
      <b/>
      <sz val="10"/>
      <color rgb="FF0D3E43"/>
      <name val="Arial"/>
      <family val="2"/>
    </font>
    <font>
      <b/>
      <sz val="10"/>
      <color rgb="FFE9D6B0"/>
      <name val="Arial"/>
      <family val="2"/>
    </font>
    <font>
      <u/>
      <sz val="11"/>
      <color theme="10"/>
      <name val="Calibri"/>
      <family val="2"/>
      <charset val="1"/>
    </font>
    <font>
      <sz val="11"/>
      <color rgb="FF333333"/>
      <name val="Open Sans"/>
      <family val="2"/>
    </font>
  </fonts>
  <fills count="13">
    <fill>
      <patternFill patternType="none"/>
    </fill>
    <fill>
      <patternFill patternType="gray125"/>
    </fill>
    <fill>
      <patternFill patternType="solid">
        <fgColor rgb="FF2A4518"/>
        <bgColor rgb="FF2A4E28"/>
      </patternFill>
    </fill>
    <fill>
      <patternFill patternType="solid">
        <fgColor rgb="FF2A4E28"/>
        <bgColor rgb="FF2A4518"/>
      </patternFill>
    </fill>
    <fill>
      <patternFill patternType="solid">
        <fgColor rgb="FF2F5937"/>
        <bgColor rgb="FF285C41"/>
      </patternFill>
    </fill>
    <fill>
      <patternFill patternType="solid">
        <fgColor rgb="FF265A45"/>
        <bgColor rgb="FF285C41"/>
      </patternFill>
    </fill>
    <fill>
      <patternFill patternType="solid">
        <fgColor rgb="FF225C54"/>
        <bgColor rgb="FF265A45"/>
      </patternFill>
    </fill>
    <fill>
      <patternFill patternType="solid">
        <fgColor rgb="FF0D3E43"/>
        <bgColor rgb="FF083337"/>
      </patternFill>
    </fill>
    <fill>
      <patternFill patternType="solid">
        <fgColor rgb="FF083337"/>
        <bgColor rgb="FF0D3E43"/>
      </patternFill>
    </fill>
    <fill>
      <patternFill patternType="solid">
        <fgColor rgb="FFAF8B51"/>
        <bgColor rgb="FF808000"/>
      </patternFill>
    </fill>
    <fill>
      <patternFill patternType="solid">
        <fgColor rgb="FF285C41"/>
        <bgColor rgb="FF265A45"/>
      </patternFill>
    </fill>
    <fill>
      <patternFill patternType="solid">
        <fgColor rgb="FF1A5350"/>
        <bgColor rgb="FF225C54"/>
      </patternFill>
    </fill>
    <fill>
      <patternFill patternType="solid">
        <fgColor rgb="FFFBF6EC"/>
        <bgColor rgb="FFFFFFFF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AF8B51"/>
      </bottom>
      <diagonal/>
    </border>
    <border>
      <left/>
      <right/>
      <top/>
      <bottom style="thin">
        <color rgb="FFD9DCD6"/>
      </bottom>
      <diagonal/>
    </border>
    <border>
      <left style="thin">
        <color rgb="FFD9DCD6"/>
      </left>
      <right style="thin">
        <color rgb="FFD9DCD6"/>
      </right>
      <top style="medium">
        <color rgb="FF083337"/>
      </top>
      <bottom/>
      <diagonal/>
    </border>
    <border>
      <left style="thin">
        <color rgb="FFD9DCD6"/>
      </left>
      <right style="thin">
        <color rgb="FFD9DCD6"/>
      </right>
      <top style="medium">
        <color rgb="FF225C54"/>
      </top>
      <bottom/>
      <diagonal/>
    </border>
    <border>
      <left style="thin">
        <color rgb="FFD9DCD6"/>
      </left>
      <right style="thin">
        <color rgb="FFD9DCD6"/>
      </right>
      <top style="medium">
        <color rgb="FF754711"/>
      </top>
      <bottom/>
      <diagonal/>
    </border>
    <border>
      <left style="thin">
        <color rgb="FFD9DCD6"/>
      </left>
      <right style="thin">
        <color rgb="FFD9DCD6"/>
      </right>
      <top style="medium">
        <color rgb="FF2F5937"/>
      </top>
      <bottom/>
      <diagonal/>
    </border>
    <border>
      <left style="thin">
        <color rgb="FFD9DCD6"/>
      </left>
      <right style="thin">
        <color rgb="FFD9DCD6"/>
      </right>
      <top style="medium">
        <color rgb="FF9B2C2C"/>
      </top>
      <bottom/>
      <diagonal/>
    </border>
    <border>
      <left style="thin">
        <color rgb="FFD9DCD6"/>
      </left>
      <right style="thin">
        <color rgb="FFD9DCD6"/>
      </right>
      <top/>
      <bottom style="thin">
        <color rgb="FFD9DCD6"/>
      </bottom>
      <diagonal/>
    </border>
  </borders>
  <cellStyleXfs count="2">
    <xf numFmtId="0" fontId="0" fillId="0" borderId="0"/>
    <xf numFmtId="0" fontId="26" fillId="0" borderId="0" applyNumberFormat="0" applyFill="0" applyBorder="0" applyAlignment="0" applyProtection="0"/>
  </cellStyleXfs>
  <cellXfs count="4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9" borderId="0" xfId="0" applyFill="1"/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 indent="1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indent="1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0" fillId="10" borderId="0" xfId="0" applyFill="1"/>
    <xf numFmtId="0" fontId="0" fillId="11" borderId="0" xfId="0" applyFill="1"/>
    <xf numFmtId="0" fontId="0" fillId="8" borderId="0" xfId="0" applyFill="1"/>
    <xf numFmtId="0" fontId="15" fillId="12" borderId="3" xfId="0" applyFont="1" applyFill="1" applyBorder="1" applyAlignment="1">
      <alignment horizontal="center" vertical="center"/>
    </xf>
    <xf numFmtId="0" fontId="16" fillId="12" borderId="4" xfId="0" applyFont="1" applyFill="1" applyBorder="1" applyAlignment="1">
      <alignment horizontal="center" vertical="center"/>
    </xf>
    <xf numFmtId="0" fontId="17" fillId="12" borderId="5" xfId="0" applyFont="1" applyFill="1" applyBorder="1" applyAlignment="1">
      <alignment horizontal="center" vertical="center"/>
    </xf>
    <xf numFmtId="0" fontId="18" fillId="12" borderId="6" xfId="0" applyFont="1" applyFill="1" applyBorder="1" applyAlignment="1">
      <alignment horizontal="center" vertical="center"/>
    </xf>
    <xf numFmtId="0" fontId="19" fillId="12" borderId="7" xfId="0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0" fontId="21" fillId="0" borderId="0" xfId="0" applyFont="1"/>
    <xf numFmtId="0" fontId="22" fillId="8" borderId="1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left" vertical="center" indent="1"/>
    </xf>
    <xf numFmtId="0" fontId="24" fillId="0" borderId="2" xfId="0" applyFont="1" applyBorder="1" applyAlignment="1">
      <alignment horizontal="center" vertical="center"/>
    </xf>
    <xf numFmtId="0" fontId="25" fillId="6" borderId="0" xfId="0" applyFont="1" applyFill="1" applyAlignment="1">
      <alignment horizontal="left" vertical="center" indent="1"/>
    </xf>
    <xf numFmtId="0" fontId="25" fillId="6" borderId="0" xfId="0" applyFont="1" applyFill="1" applyAlignment="1">
      <alignment horizontal="center" vertical="center"/>
    </xf>
    <xf numFmtId="0" fontId="26" fillId="0" borderId="2" xfId="1" applyBorder="1" applyAlignment="1">
      <alignment horizontal="left" vertical="center" indent="1"/>
    </xf>
    <xf numFmtId="0" fontId="26" fillId="0" borderId="2" xfId="1" applyBorder="1" applyAlignment="1">
      <alignment horizontal="left" vertical="center" wrapText="1" indent="1"/>
    </xf>
    <xf numFmtId="0" fontId="1" fillId="8" borderId="0" xfId="0" applyFont="1" applyFill="1" applyAlignment="1">
      <alignment horizontal="left" vertical="center" indent="1"/>
    </xf>
    <xf numFmtId="0" fontId="2" fillId="8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5" fillId="6" borderId="1" xfId="0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right" vertical="center" indent="1"/>
    </xf>
    <xf numFmtId="0" fontId="12" fillId="0" borderId="0" xfId="0" applyFont="1" applyAlignment="1">
      <alignment horizontal="left" vertical="top" wrapText="1" indent="1"/>
    </xf>
    <xf numFmtId="0" fontId="4" fillId="7" borderId="0" xfId="0" applyFont="1" applyFill="1" applyAlignment="1">
      <alignment horizontal="left" vertical="center" indent="1"/>
    </xf>
    <xf numFmtId="0" fontId="13" fillId="8" borderId="0" xfId="0" applyFont="1" applyFill="1" applyAlignment="1">
      <alignment horizontal="left" vertical="center" indent="2"/>
    </xf>
    <xf numFmtId="0" fontId="14" fillId="8" borderId="0" xfId="0" applyFont="1" applyFill="1" applyAlignment="1">
      <alignment horizontal="left" vertical="center" indent="2"/>
    </xf>
    <xf numFmtId="0" fontId="12" fillId="0" borderId="0" xfId="0" applyFont="1" applyAlignment="1">
      <alignment horizontal="left" vertical="center"/>
    </xf>
    <xf numFmtId="0" fontId="27" fillId="0" borderId="0" xfId="0" applyFont="1"/>
  </cellXfs>
  <cellStyles count="2">
    <cellStyle name="Hipervínculo" xfId="1" builtinId="8"/>
    <cellStyle name="Normal" xfId="0" builtinId="0"/>
  </cellStyles>
  <dxfs count="7">
    <dxf>
      <font>
        <b/>
        <sz val="10"/>
        <color rgb="FF2F5937"/>
        <name val="Arial"/>
        <charset val="1"/>
      </font>
    </dxf>
    <dxf>
      <font>
        <b/>
        <sz val="10"/>
        <color rgb="FF9B2C2C"/>
        <name val="Arial"/>
        <charset val="1"/>
      </font>
      <fill>
        <patternFill>
          <bgColor rgb="FFF7E4E2"/>
        </patternFill>
      </fill>
    </dxf>
    <dxf>
      <font>
        <b/>
        <sz val="9"/>
        <color rgb="FF2A4518"/>
        <name val="Arial"/>
        <charset val="1"/>
      </font>
      <fill>
        <patternFill>
          <bgColor rgb="FFEBF0E1"/>
        </patternFill>
      </fill>
    </dxf>
    <dxf>
      <font>
        <b/>
        <sz val="9"/>
        <color rgb="FF2F5937"/>
        <name val="Arial"/>
        <charset val="1"/>
      </font>
      <fill>
        <patternFill>
          <bgColor rgb="FFE2EBE2"/>
        </patternFill>
      </fill>
    </dxf>
    <dxf>
      <font>
        <b/>
        <sz val="9"/>
        <color rgb="FF0D3E43"/>
        <name val="Arial"/>
        <charset val="1"/>
      </font>
      <fill>
        <patternFill>
          <bgColor rgb="FFDCE9E9"/>
        </patternFill>
      </fill>
    </dxf>
    <dxf>
      <font>
        <b/>
        <sz val="9"/>
        <color rgb="FF754711"/>
        <name val="Arial"/>
        <charset val="1"/>
      </font>
      <fill>
        <patternFill>
          <bgColor rgb="FFF4E7CE"/>
        </patternFill>
      </fill>
    </dxf>
    <dxf>
      <fill>
        <patternFill>
          <bgColor rgb="FFFBF6E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85C41"/>
      <rgbColor rgb="FF000080"/>
      <rgbColor rgb="FF808000"/>
      <rgbColor rgb="FF800080"/>
      <rgbColor rgb="FF225C54"/>
      <rgbColor rgb="FFF7E4E2"/>
      <rgbColor rgb="FF6E7B7C"/>
      <rgbColor rgb="FF9999FF"/>
      <rgbColor rgb="FF754711"/>
      <rgbColor rgb="FFFBF6EC"/>
      <rgbColor rgb="FFDCE9E9"/>
      <rgbColor rgb="FF660066"/>
      <rgbColor rgb="FFFF8080"/>
      <rgbColor rgb="FF0066CC"/>
      <rgbColor rgb="FFD9DCD6"/>
      <rgbColor rgb="FF000080"/>
      <rgbColor rgb="FFFF00FF"/>
      <rgbColor rgb="FFFFFF00"/>
      <rgbColor rgb="FF00FFFF"/>
      <rgbColor rgb="FF800080"/>
      <rgbColor rgb="FF800000"/>
      <rgbColor rgb="FF265A45"/>
      <rgbColor rgb="FF0000FF"/>
      <rgbColor rgb="FF00CCFF"/>
      <rgbColor rgb="FFEBF0E1"/>
      <rgbColor rgb="FFE2EBE2"/>
      <rgbColor rgb="FFF4E7CE"/>
      <rgbColor rgb="FF99CCFF"/>
      <rgbColor rgb="FFFF99CC"/>
      <rgbColor rgb="FFCC99FF"/>
      <rgbColor rgb="FFE9D6B0"/>
      <rgbColor rgb="FF3366FF"/>
      <rgbColor rgb="FF33CCCC"/>
      <rgbColor rgb="FF99CC00"/>
      <rgbColor rgb="FFFFCC00"/>
      <rgbColor rgb="FFFF9900"/>
      <rgbColor rgb="FFFF6600"/>
      <rgbColor rgb="FF2F5937"/>
      <rgbColor rgb="FFAF8B51"/>
      <rgbColor rgb="FF0D3E43"/>
      <rgbColor rgb="FF2A4E28"/>
      <rgbColor rgb="FF083337"/>
      <rgbColor rgb="FF2A4518"/>
      <rgbColor rgb="FF9B2C2C"/>
      <rgbColor rgb="FF993366"/>
      <rgbColor rgb="FF1A5350"/>
      <rgbColor rgb="FF1F2A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1257301</xdr:colOff>
      <xdr:row>0</xdr:row>
      <xdr:rowOff>0</xdr:rowOff>
    </xdr:from>
    <xdr:to>
      <xdr:col>2</xdr:col>
      <xdr:colOff>876301</xdr:colOff>
      <xdr:row>3</xdr:row>
      <xdr:rowOff>140132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9B9F89-1E2B-DBF4-1648-5CFACBCDA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6" y="0"/>
          <a:ext cx="1885950" cy="7116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osalinda.cuellar@mr-lana.com" TargetMode="External"/><Relationship Id="rId13" Type="http://schemas.openxmlformats.org/officeDocument/2006/relationships/hyperlink" Target="mailto:lizette.aguilar@mr-lana.com" TargetMode="External"/><Relationship Id="rId18" Type="http://schemas.openxmlformats.org/officeDocument/2006/relationships/hyperlink" Target="mailto:lidia.jimenez@mr-lana.com" TargetMode="External"/><Relationship Id="rId3" Type="http://schemas.openxmlformats.org/officeDocument/2006/relationships/hyperlink" Target="mailto:luis.lopez@mr-lana.com" TargetMode="External"/><Relationship Id="rId21" Type="http://schemas.openxmlformats.org/officeDocument/2006/relationships/hyperlink" Target="mailto:marlen.razo@mr-lana.com" TargetMode="External"/><Relationship Id="rId7" Type="http://schemas.openxmlformats.org/officeDocument/2006/relationships/hyperlink" Target="mailto:juan.gonzalez@mr-lana.com" TargetMode="External"/><Relationship Id="rId12" Type="http://schemas.openxmlformats.org/officeDocument/2006/relationships/hyperlink" Target="mailto:ivan.quevedo@mr-lana.com" TargetMode="External"/><Relationship Id="rId17" Type="http://schemas.openxmlformats.org/officeDocument/2006/relationships/hyperlink" Target="mailto:monica.garcia@mr-lana.com" TargetMode="External"/><Relationship Id="rId2" Type="http://schemas.openxmlformats.org/officeDocument/2006/relationships/hyperlink" Target="mailto:angelica.granados@mr-lana.com" TargetMode="External"/><Relationship Id="rId16" Type="http://schemas.openxmlformats.org/officeDocument/2006/relationships/hyperlink" Target="mailto:maricela.flores@mr-lana.com" TargetMode="External"/><Relationship Id="rId20" Type="http://schemas.openxmlformats.org/officeDocument/2006/relationships/hyperlink" Target="mailto:jaime.valverde@mr-lana.com" TargetMode="External"/><Relationship Id="rId1" Type="http://schemas.openxmlformats.org/officeDocument/2006/relationships/hyperlink" Target="mailto:eliot.serrano@mr-lana.com" TargetMode="External"/><Relationship Id="rId6" Type="http://schemas.openxmlformats.org/officeDocument/2006/relationships/hyperlink" Target="mailto:hesiquio.martinez@mr-lana.com" TargetMode="External"/><Relationship Id="rId11" Type="http://schemas.openxmlformats.org/officeDocument/2006/relationships/hyperlink" Target="mailto:monica.ocampo@mr-lana.com" TargetMode="External"/><Relationship Id="rId5" Type="http://schemas.openxmlformats.org/officeDocument/2006/relationships/hyperlink" Target="mailto:ricardo.rocha@mr-lana.com" TargetMode="External"/><Relationship Id="rId15" Type="http://schemas.openxmlformats.org/officeDocument/2006/relationships/hyperlink" Target="mailto:mercedes.rodriguez@mr-lana.com" TargetMode="External"/><Relationship Id="rId10" Type="http://schemas.openxmlformats.org/officeDocument/2006/relationships/hyperlink" Target="mailto:ana.sanchez@mr-lana.com" TargetMode="External"/><Relationship Id="rId19" Type="http://schemas.openxmlformats.org/officeDocument/2006/relationships/hyperlink" Target="mailto:maria.godoy@mr-lana.com" TargetMode="External"/><Relationship Id="rId4" Type="http://schemas.openxmlformats.org/officeDocument/2006/relationships/hyperlink" Target="mailto:maribel.diaz@mr-lana.com" TargetMode="External"/><Relationship Id="rId9" Type="http://schemas.openxmlformats.org/officeDocument/2006/relationships/hyperlink" Target="mailto:luis.garay@mr-lana.com" TargetMode="External"/><Relationship Id="rId14" Type="http://schemas.openxmlformats.org/officeDocument/2006/relationships/hyperlink" Target="mailto:alejandra.rosas@mr-lana.com" TargetMode="External"/><Relationship Id="rId2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3E43"/>
    <pageSetUpPr fitToPage="1"/>
  </sheetPr>
  <dimension ref="A5:F65"/>
  <sheetViews>
    <sheetView showGridLines="0" tabSelected="1" zoomScale="120" zoomScaleNormal="120" workbookViewId="0">
      <pane ySplit="11" topLeftCell="A59" activePane="bottomLeft" state="frozen"/>
      <selection pane="bottomLeft" activeCell="A63" sqref="A63:F63"/>
    </sheetView>
  </sheetViews>
  <sheetFormatPr baseColWidth="10" defaultColWidth="8.7109375" defaultRowHeight="15" outlineLevelRow="1" x14ac:dyDescent="0.25"/>
  <cols>
    <col min="1" max="1" width="11" customWidth="1"/>
    <col min="2" max="2" width="34" customWidth="1"/>
    <col min="3" max="3" width="20" customWidth="1"/>
    <col min="4" max="4" width="21" customWidth="1"/>
    <col min="5" max="5" width="34" customWidth="1"/>
    <col min="6" max="6" width="19" customWidth="1"/>
  </cols>
  <sheetData>
    <row r="5" spans="1:6" ht="6.75" customHeight="1" x14ac:dyDescent="0.25">
      <c r="A5" s="1"/>
      <c r="B5" s="2"/>
      <c r="C5" s="3"/>
      <c r="D5" s="4"/>
      <c r="E5" s="5"/>
      <c r="F5" s="6"/>
    </row>
    <row r="6" spans="1:6" ht="30" customHeight="1" x14ac:dyDescent="0.25">
      <c r="A6" s="34" t="s">
        <v>0</v>
      </c>
      <c r="B6" s="34"/>
      <c r="C6" s="34"/>
      <c r="D6" s="34"/>
      <c r="E6" s="34"/>
      <c r="F6" s="34"/>
    </row>
    <row r="7" spans="1:6" ht="19.5" customHeight="1" x14ac:dyDescent="0.25">
      <c r="A7" s="35" t="s">
        <v>1</v>
      </c>
      <c r="B7" s="35"/>
      <c r="C7" s="35"/>
      <c r="D7" s="35"/>
      <c r="E7" s="35"/>
      <c r="F7" s="35"/>
    </row>
    <row r="8" spans="1:6" ht="3.75" customHeight="1" x14ac:dyDescent="0.25">
      <c r="A8" s="7"/>
      <c r="B8" s="7"/>
      <c r="C8" s="7"/>
      <c r="D8" s="7"/>
      <c r="E8" s="7"/>
      <c r="F8" s="7"/>
    </row>
    <row r="9" spans="1:6" ht="21.75" customHeight="1" x14ac:dyDescent="0.25">
      <c r="A9" s="36" t="s">
        <v>2</v>
      </c>
      <c r="B9" s="36"/>
      <c r="C9" s="36"/>
    </row>
    <row r="10" spans="1:6" ht="7.5" customHeight="1" x14ac:dyDescent="0.25"/>
    <row r="11" spans="1:6" ht="30" customHeight="1" x14ac:dyDescent="0.25">
      <c r="A11" s="8" t="s">
        <v>3</v>
      </c>
      <c r="B11" s="9" t="s">
        <v>4</v>
      </c>
      <c r="C11" s="8" t="s">
        <v>5</v>
      </c>
      <c r="D11" s="8" t="s">
        <v>6</v>
      </c>
      <c r="E11" s="9" t="s">
        <v>7</v>
      </c>
      <c r="F11" s="8" t="s">
        <v>8</v>
      </c>
    </row>
    <row r="12" spans="1:6" ht="22.5" customHeight="1" x14ac:dyDescent="0.25">
      <c r="A12" s="37" t="s">
        <v>9</v>
      </c>
      <c r="B12" s="37"/>
      <c r="C12" s="37"/>
      <c r="D12" s="37"/>
      <c r="E12" s="38" t="str">
        <f>COUNTIF(C13:C14,"ATLACOMULCO")&amp;" colaboradores"</f>
        <v>2 colaboradores</v>
      </c>
      <c r="F12" s="38"/>
    </row>
    <row r="13" spans="1:6" ht="19.5" customHeight="1" outlineLevel="1" x14ac:dyDescent="0.25">
      <c r="A13" s="10">
        <v>624</v>
      </c>
      <c r="B13" s="11" t="s">
        <v>10</v>
      </c>
      <c r="C13" s="12" t="s">
        <v>11</v>
      </c>
      <c r="D13" s="13" t="s">
        <v>12</v>
      </c>
      <c r="E13" s="32" t="s">
        <v>13</v>
      </c>
      <c r="F13" s="15" t="s">
        <v>14</v>
      </c>
    </row>
    <row r="14" spans="1:6" ht="19.5" customHeight="1" outlineLevel="1" x14ac:dyDescent="0.25">
      <c r="A14" s="10">
        <v>8</v>
      </c>
      <c r="B14" s="11" t="s">
        <v>15</v>
      </c>
      <c r="C14" s="12" t="s">
        <v>11</v>
      </c>
      <c r="D14" s="13" t="s">
        <v>16</v>
      </c>
      <c r="E14" s="32" t="s">
        <v>121</v>
      </c>
      <c r="F14" s="15" t="s">
        <v>17</v>
      </c>
    </row>
    <row r="15" spans="1:6" ht="6" customHeight="1" x14ac:dyDescent="0.25"/>
    <row r="16" spans="1:6" ht="22.5" customHeight="1" x14ac:dyDescent="0.25">
      <c r="A16" s="37" t="s">
        <v>18</v>
      </c>
      <c r="B16" s="37"/>
      <c r="C16" s="37"/>
      <c r="D16" s="37"/>
      <c r="E16" s="38" t="str">
        <f>COUNTIF(C17:C17,"ATLIXCO")&amp;" colaboradores"</f>
        <v>1 colaboradores</v>
      </c>
      <c r="F16" s="38"/>
    </row>
    <row r="17" spans="1:6" ht="19.5" customHeight="1" outlineLevel="1" x14ac:dyDescent="0.25">
      <c r="A17" s="10">
        <v>20</v>
      </c>
      <c r="B17" s="11" t="s">
        <v>19</v>
      </c>
      <c r="C17" s="12" t="s">
        <v>20</v>
      </c>
      <c r="D17" s="13" t="s">
        <v>21</v>
      </c>
      <c r="E17" s="14" t="s">
        <v>22</v>
      </c>
      <c r="F17" s="15">
        <v>2241510289</v>
      </c>
    </row>
    <row r="18" spans="1:6" ht="19.5" customHeight="1" outlineLevel="1" x14ac:dyDescent="0.3">
      <c r="A18" s="10">
        <v>841</v>
      </c>
      <c r="B18" s="11" t="s">
        <v>107</v>
      </c>
      <c r="C18" s="12" t="s">
        <v>20</v>
      </c>
      <c r="D18" s="13" t="s">
        <v>12</v>
      </c>
      <c r="E18" s="44" t="s">
        <v>116</v>
      </c>
      <c r="F18" s="15" t="s">
        <v>108</v>
      </c>
    </row>
    <row r="19" spans="1:6" ht="6" customHeight="1" x14ac:dyDescent="0.25"/>
    <row r="20" spans="1:6" ht="22.5" customHeight="1" x14ac:dyDescent="0.25">
      <c r="A20" s="37" t="s">
        <v>24</v>
      </c>
      <c r="B20" s="37"/>
      <c r="C20" s="37"/>
      <c r="D20" s="37"/>
      <c r="E20" s="38" t="str">
        <f>COUNTIF(C21:C22,"CUERNAVACA")&amp;" colaboradores"</f>
        <v>2 colaboradores</v>
      </c>
      <c r="F20" s="38"/>
    </row>
    <row r="21" spans="1:6" ht="19.5" customHeight="1" outlineLevel="1" x14ac:dyDescent="0.25">
      <c r="A21" s="10"/>
      <c r="B21" s="11" t="s">
        <v>111</v>
      </c>
      <c r="C21" s="12" t="s">
        <v>25</v>
      </c>
      <c r="D21" s="13" t="s">
        <v>12</v>
      </c>
      <c r="E21" s="33" t="s">
        <v>109</v>
      </c>
      <c r="F21" s="15" t="s">
        <v>110</v>
      </c>
    </row>
    <row r="22" spans="1:6" ht="19.5" customHeight="1" outlineLevel="1" x14ac:dyDescent="0.25">
      <c r="A22" s="10">
        <v>54</v>
      </c>
      <c r="B22" s="11" t="s">
        <v>26</v>
      </c>
      <c r="C22" s="12" t="s">
        <v>25</v>
      </c>
      <c r="D22" s="13" t="s">
        <v>16</v>
      </c>
      <c r="E22" s="14" t="s">
        <v>27</v>
      </c>
      <c r="F22" s="15" t="s">
        <v>28</v>
      </c>
    </row>
    <row r="23" spans="1:6" ht="6" customHeight="1" x14ac:dyDescent="0.25"/>
    <row r="24" spans="1:6" ht="22.5" customHeight="1" x14ac:dyDescent="0.25">
      <c r="A24" s="37" t="s">
        <v>29</v>
      </c>
      <c r="B24" s="37"/>
      <c r="C24" s="37"/>
      <c r="D24" s="37"/>
      <c r="E24" s="38" t="str">
        <f>COUNTIF(C25:C26,"CÓRDOBA")&amp;" colaboradores"</f>
        <v>2 colaboradores</v>
      </c>
      <c r="F24" s="38"/>
    </row>
    <row r="25" spans="1:6" ht="19.5" customHeight="1" outlineLevel="1" x14ac:dyDescent="0.25">
      <c r="A25" s="10">
        <v>36</v>
      </c>
      <c r="B25" s="11" t="s">
        <v>30</v>
      </c>
      <c r="C25" s="12" t="s">
        <v>31</v>
      </c>
      <c r="D25" s="13" t="s">
        <v>21</v>
      </c>
      <c r="E25" s="14" t="s">
        <v>32</v>
      </c>
      <c r="F25" s="15" t="s">
        <v>33</v>
      </c>
    </row>
    <row r="26" spans="1:6" ht="19.5" customHeight="1" outlineLevel="1" x14ac:dyDescent="0.25">
      <c r="A26" s="10">
        <v>43</v>
      </c>
      <c r="B26" s="11" t="s">
        <v>34</v>
      </c>
      <c r="C26" s="12" t="s">
        <v>31</v>
      </c>
      <c r="D26" s="13" t="s">
        <v>12</v>
      </c>
      <c r="E26" s="14" t="s">
        <v>35</v>
      </c>
      <c r="F26" s="15" t="s">
        <v>36</v>
      </c>
    </row>
    <row r="27" spans="1:6" ht="6" customHeight="1" x14ac:dyDescent="0.25"/>
    <row r="28" spans="1:6" ht="22.5" customHeight="1" x14ac:dyDescent="0.25">
      <c r="A28" s="37" t="s">
        <v>37</v>
      </c>
      <c r="B28" s="37"/>
      <c r="C28" s="37"/>
      <c r="D28" s="37"/>
      <c r="E28" s="38" t="str">
        <f>COUNTIF(C29:C30,"HUAMANTLA")&amp;" colaboradores"</f>
        <v>2 colaboradores</v>
      </c>
      <c r="F28" s="38"/>
    </row>
    <row r="29" spans="1:6" ht="19.5" customHeight="1" outlineLevel="1" x14ac:dyDescent="0.25">
      <c r="A29" s="10">
        <v>833</v>
      </c>
      <c r="B29" s="11" t="s">
        <v>38</v>
      </c>
      <c r="C29" s="12" t="s">
        <v>39</v>
      </c>
      <c r="D29" s="13" t="s">
        <v>21</v>
      </c>
      <c r="E29" s="14" t="s">
        <v>40</v>
      </c>
      <c r="F29" s="15" t="s">
        <v>41</v>
      </c>
    </row>
    <row r="30" spans="1:6" ht="19.5" customHeight="1" outlineLevel="1" x14ac:dyDescent="0.25">
      <c r="A30" s="10">
        <v>644</v>
      </c>
      <c r="B30" s="11" t="s">
        <v>42</v>
      </c>
      <c r="C30" s="12" t="s">
        <v>39</v>
      </c>
      <c r="D30" s="13" t="s">
        <v>16</v>
      </c>
      <c r="E30" s="14" t="s">
        <v>43</v>
      </c>
      <c r="F30" s="16" t="s">
        <v>23</v>
      </c>
    </row>
    <row r="31" spans="1:6" ht="6" customHeight="1" x14ac:dyDescent="0.25"/>
    <row r="32" spans="1:6" ht="22.5" customHeight="1" x14ac:dyDescent="0.25">
      <c r="A32" s="37" t="s">
        <v>44</v>
      </c>
      <c r="B32" s="37"/>
      <c r="C32" s="37"/>
      <c r="D32" s="37"/>
      <c r="E32" s="38" t="str">
        <f>COUNTIF(C33:C34,"IXTLAHUACA")&amp;" colaboradores"</f>
        <v>2 colaboradores</v>
      </c>
      <c r="F32" s="38"/>
    </row>
    <row r="33" spans="1:6" ht="19.5" customHeight="1" outlineLevel="1" x14ac:dyDescent="0.25">
      <c r="A33" s="10">
        <v>704</v>
      </c>
      <c r="B33" s="11" t="s">
        <v>45</v>
      </c>
      <c r="C33" s="12" t="s">
        <v>46</v>
      </c>
      <c r="D33" s="13" t="s">
        <v>21</v>
      </c>
      <c r="E33" s="14" t="s">
        <v>47</v>
      </c>
      <c r="F33" s="15">
        <v>7206656747</v>
      </c>
    </row>
    <row r="34" spans="1:6" ht="19.5" customHeight="1" outlineLevel="1" x14ac:dyDescent="0.25">
      <c r="A34" s="10">
        <v>660</v>
      </c>
      <c r="B34" s="11" t="s">
        <v>48</v>
      </c>
      <c r="C34" s="12" t="s">
        <v>46</v>
      </c>
      <c r="D34" s="13" t="s">
        <v>16</v>
      </c>
      <c r="E34" s="14" t="s">
        <v>49</v>
      </c>
      <c r="F34" s="15" t="s">
        <v>102</v>
      </c>
    </row>
    <row r="35" spans="1:6" ht="6" customHeight="1" x14ac:dyDescent="0.25"/>
    <row r="36" spans="1:6" ht="22.5" customHeight="1" thickBot="1" x14ac:dyDescent="0.3">
      <c r="A36" s="37" t="s">
        <v>50</v>
      </c>
      <c r="B36" s="37"/>
      <c r="C36" s="37"/>
      <c r="D36" s="37"/>
      <c r="E36" s="38" t="str">
        <f>COUNTIF(C37:C38,"MIACATLÁN")&amp;" colaboradores"</f>
        <v>2 colaboradores</v>
      </c>
      <c r="F36" s="38"/>
    </row>
    <row r="37" spans="1:6" ht="19.5" customHeight="1" outlineLevel="1" x14ac:dyDescent="0.3">
      <c r="A37" s="10">
        <v>890</v>
      </c>
      <c r="B37" s="11" t="s">
        <v>112</v>
      </c>
      <c r="C37" s="12" t="s">
        <v>51</v>
      </c>
      <c r="D37" s="13" t="s">
        <v>21</v>
      </c>
      <c r="E37" s="44" t="s">
        <v>117</v>
      </c>
      <c r="F37" s="15"/>
    </row>
    <row r="38" spans="1:6" ht="19.5" customHeight="1" outlineLevel="1" x14ac:dyDescent="0.25">
      <c r="A38" s="10">
        <v>145</v>
      </c>
      <c r="B38" s="11" t="s">
        <v>52</v>
      </c>
      <c r="C38" s="12" t="s">
        <v>51</v>
      </c>
      <c r="D38" s="13" t="s">
        <v>16</v>
      </c>
      <c r="E38" s="14" t="s">
        <v>53</v>
      </c>
      <c r="F38" s="15" t="s">
        <v>103</v>
      </c>
    </row>
    <row r="39" spans="1:6" ht="6" customHeight="1" x14ac:dyDescent="0.25"/>
    <row r="40" spans="1:6" ht="22.5" customHeight="1" x14ac:dyDescent="0.25">
      <c r="A40" s="37" t="s">
        <v>54</v>
      </c>
      <c r="B40" s="37"/>
      <c r="C40" s="37"/>
      <c r="D40" s="37"/>
      <c r="E40" s="38" t="str">
        <f>COUNTIF(C41:C43,"ORIZABA")&amp;" colaboradores"</f>
        <v>3 colaboradores</v>
      </c>
      <c r="F40" s="38"/>
    </row>
    <row r="41" spans="1:6" ht="19.5" customHeight="1" outlineLevel="1" x14ac:dyDescent="0.25">
      <c r="A41" s="10">
        <v>134</v>
      </c>
      <c r="B41" s="11" t="s">
        <v>55</v>
      </c>
      <c r="C41" s="12" t="s">
        <v>56</v>
      </c>
      <c r="D41" s="13" t="s">
        <v>21</v>
      </c>
      <c r="E41" s="14" t="s">
        <v>57</v>
      </c>
      <c r="F41" s="15" t="s">
        <v>58</v>
      </c>
    </row>
    <row r="42" spans="1:6" ht="19.5" customHeight="1" outlineLevel="1" x14ac:dyDescent="0.25">
      <c r="A42" s="10">
        <v>120</v>
      </c>
      <c r="B42" s="11" t="s">
        <v>59</v>
      </c>
      <c r="C42" s="12" t="s">
        <v>56</v>
      </c>
      <c r="D42" s="13" t="s">
        <v>12</v>
      </c>
      <c r="E42" s="14" t="s">
        <v>60</v>
      </c>
      <c r="F42" s="15">
        <v>2722331237</v>
      </c>
    </row>
    <row r="43" spans="1:6" ht="19.5" customHeight="1" outlineLevel="1" x14ac:dyDescent="0.25">
      <c r="A43" s="10">
        <v>22</v>
      </c>
      <c r="B43" s="11" t="s">
        <v>61</v>
      </c>
      <c r="C43" s="12" t="s">
        <v>56</v>
      </c>
      <c r="D43" s="13" t="s">
        <v>16</v>
      </c>
      <c r="E43" s="14" t="s">
        <v>62</v>
      </c>
      <c r="F43" s="15" t="s">
        <v>63</v>
      </c>
    </row>
    <row r="44" spans="1:6" ht="6" customHeight="1" x14ac:dyDescent="0.25"/>
    <row r="45" spans="1:6" ht="22.5" customHeight="1" thickBot="1" x14ac:dyDescent="0.3">
      <c r="A45" s="37" t="s">
        <v>64</v>
      </c>
      <c r="B45" s="37"/>
      <c r="C45" s="37"/>
      <c r="D45" s="37"/>
      <c r="E45" s="38" t="str">
        <f>COUNTIF(C47:C47,"SAN LUIS POTOSÍ")&amp;" colaboradores"</f>
        <v>1 colaboradores</v>
      </c>
      <c r="F45" s="38"/>
    </row>
    <row r="46" spans="1:6" ht="19.5" customHeight="1" outlineLevel="1" x14ac:dyDescent="0.3">
      <c r="A46" s="10"/>
      <c r="B46" s="11" t="s">
        <v>113</v>
      </c>
      <c r="C46" s="12" t="s">
        <v>65</v>
      </c>
      <c r="D46" s="13" t="s">
        <v>12</v>
      </c>
      <c r="E46" s="44" t="s">
        <v>118</v>
      </c>
      <c r="F46" s="15"/>
    </row>
    <row r="47" spans="1:6" ht="19.5" customHeight="1" outlineLevel="1" x14ac:dyDescent="0.25">
      <c r="A47" s="10">
        <v>149</v>
      </c>
      <c r="B47" s="11" t="s">
        <v>66</v>
      </c>
      <c r="C47" s="12" t="s">
        <v>65</v>
      </c>
      <c r="D47" s="13" t="s">
        <v>16</v>
      </c>
      <c r="E47" s="14" t="s">
        <v>67</v>
      </c>
      <c r="F47" s="15" t="s">
        <v>68</v>
      </c>
    </row>
    <row r="48" spans="1:6" ht="6" customHeight="1" x14ac:dyDescent="0.25"/>
    <row r="49" spans="1:6" ht="22.5" customHeight="1" thickBot="1" x14ac:dyDescent="0.3">
      <c r="A49" s="37" t="s">
        <v>69</v>
      </c>
      <c r="B49" s="37"/>
      <c r="C49" s="37"/>
      <c r="D49" s="37"/>
      <c r="E49" s="38" t="str">
        <f>COUNTIF(C51:C52,"TLAXCALA")&amp;" colaboradores"</f>
        <v>2 colaboradores</v>
      </c>
      <c r="F49" s="38"/>
    </row>
    <row r="50" spans="1:6" ht="19.5" customHeight="1" outlineLevel="1" x14ac:dyDescent="0.3">
      <c r="A50" s="10"/>
      <c r="B50" s="11" t="s">
        <v>114</v>
      </c>
      <c r="C50" s="12" t="s">
        <v>70</v>
      </c>
      <c r="D50" s="13" t="s">
        <v>115</v>
      </c>
      <c r="E50" s="44" t="s">
        <v>119</v>
      </c>
      <c r="F50" s="16"/>
    </row>
    <row r="51" spans="1:6" ht="19.5" customHeight="1" outlineLevel="1" x14ac:dyDescent="0.25">
      <c r="A51" s="10">
        <v>863</v>
      </c>
      <c r="B51" s="11" t="s">
        <v>71</v>
      </c>
      <c r="C51" s="12" t="s">
        <v>70</v>
      </c>
      <c r="D51" s="13" t="s">
        <v>12</v>
      </c>
      <c r="E51" s="32" t="s">
        <v>120</v>
      </c>
      <c r="F51" s="16" t="s">
        <v>23</v>
      </c>
    </row>
    <row r="52" spans="1:6" ht="19.5" customHeight="1" outlineLevel="1" x14ac:dyDescent="0.25">
      <c r="A52" s="10">
        <v>728</v>
      </c>
      <c r="B52" s="11" t="s">
        <v>72</v>
      </c>
      <c r="C52" s="12" t="s">
        <v>70</v>
      </c>
      <c r="D52" s="13" t="s">
        <v>16</v>
      </c>
      <c r="E52" s="14" t="s">
        <v>73</v>
      </c>
      <c r="F52" s="15" t="s">
        <v>104</v>
      </c>
    </row>
    <row r="53" spans="1:6" ht="6" customHeight="1" x14ac:dyDescent="0.25"/>
    <row r="54" spans="1:6" ht="22.5" customHeight="1" x14ac:dyDescent="0.25">
      <c r="A54" s="37" t="s">
        <v>74</v>
      </c>
      <c r="B54" s="37"/>
      <c r="C54" s="37"/>
      <c r="D54" s="37"/>
      <c r="E54" s="38" t="str">
        <f>COUNTIF(C55:C56,"TULA")&amp;" colaboradores"</f>
        <v>2 colaboradores</v>
      </c>
      <c r="F54" s="38"/>
    </row>
    <row r="55" spans="1:6" ht="19.5" customHeight="1" outlineLevel="1" x14ac:dyDescent="0.25">
      <c r="A55" s="10">
        <v>179</v>
      </c>
      <c r="B55" s="11" t="s">
        <v>75</v>
      </c>
      <c r="C55" s="12" t="s">
        <v>76</v>
      </c>
      <c r="D55" s="13" t="s">
        <v>77</v>
      </c>
      <c r="E55" s="14" t="s">
        <v>78</v>
      </c>
      <c r="F55" s="15" t="s">
        <v>79</v>
      </c>
    </row>
    <row r="56" spans="1:6" ht="19.5" customHeight="1" outlineLevel="1" x14ac:dyDescent="0.25">
      <c r="A56" s="10">
        <v>504</v>
      </c>
      <c r="B56" s="11" t="s">
        <v>80</v>
      </c>
      <c r="C56" s="12" t="s">
        <v>76</v>
      </c>
      <c r="D56" s="13" t="s">
        <v>21</v>
      </c>
      <c r="E56" s="14" t="s">
        <v>81</v>
      </c>
      <c r="F56" s="15">
        <v>5517053573</v>
      </c>
    </row>
    <row r="57" spans="1:6" ht="19.5" customHeight="1" outlineLevel="1" x14ac:dyDescent="0.25">
      <c r="A57" s="10">
        <v>895</v>
      </c>
      <c r="B57" s="11" t="s">
        <v>105</v>
      </c>
      <c r="C57" s="12" t="s">
        <v>76</v>
      </c>
      <c r="D57" s="13" t="s">
        <v>16</v>
      </c>
      <c r="E57" s="32" t="s">
        <v>106</v>
      </c>
      <c r="F57" s="15"/>
    </row>
    <row r="59" spans="1:6" ht="19.5" customHeight="1" x14ac:dyDescent="0.25">
      <c r="A59" s="40" t="s">
        <v>82</v>
      </c>
      <c r="B59" s="40"/>
      <c r="C59" s="40"/>
      <c r="D59" s="40"/>
      <c r="E59" s="40"/>
      <c r="F59" s="40"/>
    </row>
    <row r="60" spans="1:6" ht="27" customHeight="1" x14ac:dyDescent="0.25">
      <c r="A60" s="39" t="s">
        <v>83</v>
      </c>
      <c r="B60" s="39"/>
      <c r="C60" s="39"/>
      <c r="D60" s="39"/>
      <c r="E60" s="39"/>
      <c r="F60" s="39"/>
    </row>
    <row r="61" spans="1:6" ht="27" customHeight="1" x14ac:dyDescent="0.25">
      <c r="A61" s="39" t="s">
        <v>84</v>
      </c>
      <c r="B61" s="39"/>
      <c r="C61" s="39"/>
      <c r="D61" s="39"/>
      <c r="E61" s="39"/>
      <c r="F61" s="39"/>
    </row>
    <row r="62" spans="1:6" ht="27" customHeight="1" x14ac:dyDescent="0.25">
      <c r="A62" s="39" t="s">
        <v>85</v>
      </c>
      <c r="B62" s="39"/>
      <c r="C62" s="39"/>
      <c r="D62" s="39"/>
      <c r="E62" s="39"/>
      <c r="F62" s="39"/>
    </row>
    <row r="63" spans="1:6" ht="27" customHeight="1" x14ac:dyDescent="0.25">
      <c r="A63" s="39" t="s">
        <v>86</v>
      </c>
      <c r="B63" s="39"/>
      <c r="C63" s="39"/>
      <c r="D63" s="39"/>
      <c r="E63" s="39"/>
      <c r="F63" s="39"/>
    </row>
    <row r="64" spans="1:6" ht="27" customHeight="1" x14ac:dyDescent="0.25">
      <c r="A64" s="39" t="s">
        <v>87</v>
      </c>
      <c r="B64" s="39"/>
      <c r="C64" s="39"/>
      <c r="D64" s="39"/>
      <c r="E64" s="39"/>
      <c r="F64" s="39"/>
    </row>
    <row r="65" spans="1:6" ht="27" customHeight="1" x14ac:dyDescent="0.25">
      <c r="A65" s="39" t="s">
        <v>88</v>
      </c>
      <c r="B65" s="39"/>
      <c r="C65" s="39"/>
      <c r="D65" s="39"/>
      <c r="E65" s="39"/>
      <c r="F65" s="39"/>
    </row>
  </sheetData>
  <mergeCells count="32">
    <mergeCell ref="A62:F62"/>
    <mergeCell ref="A63:F63"/>
    <mergeCell ref="A64:F64"/>
    <mergeCell ref="A65:F65"/>
    <mergeCell ref="A54:D54"/>
    <mergeCell ref="E54:F54"/>
    <mergeCell ref="A59:F59"/>
    <mergeCell ref="A60:F60"/>
    <mergeCell ref="A61:F61"/>
    <mergeCell ref="A40:D40"/>
    <mergeCell ref="E40:F40"/>
    <mergeCell ref="A45:D45"/>
    <mergeCell ref="E45:F45"/>
    <mergeCell ref="A49:D49"/>
    <mergeCell ref="E49:F49"/>
    <mergeCell ref="A28:D28"/>
    <mergeCell ref="E28:F28"/>
    <mergeCell ref="A32:D32"/>
    <mergeCell ref="E32:F32"/>
    <mergeCell ref="A36:D36"/>
    <mergeCell ref="E36:F36"/>
    <mergeCell ref="A16:D16"/>
    <mergeCell ref="E16:F16"/>
    <mergeCell ref="A20:D20"/>
    <mergeCell ref="E20:F20"/>
    <mergeCell ref="A24:D24"/>
    <mergeCell ref="E24:F24"/>
    <mergeCell ref="A6:F6"/>
    <mergeCell ref="A7:F7"/>
    <mergeCell ref="A9:C9"/>
    <mergeCell ref="A12:D12"/>
    <mergeCell ref="E12:F12"/>
  </mergeCells>
  <conditionalFormatting sqref="A12:C57 E12:F17 E19:F36 F18 E38:F45 F37 E47:F49 F46 E51:F57 F50">
    <cfRule type="expression" dxfId="6" priority="2">
      <formula>AND($B12&lt;&gt;"",MOD(ROW(),2)=0)</formula>
    </cfRule>
  </conditionalFormatting>
  <conditionalFormatting sqref="D12:D57">
    <cfRule type="expression" dxfId="5" priority="4">
      <formula>$D12="GERENTE REGIONAL"</formula>
    </cfRule>
    <cfRule type="expression" dxfId="4" priority="5">
      <formula>$D12="GERENTE"</formula>
    </cfRule>
    <cfRule type="expression" dxfId="3" priority="6">
      <formula>$D12="SUBGERENTE"</formula>
    </cfRule>
    <cfRule type="expression" dxfId="2" priority="7">
      <formula>LEFT($D12,11)="COORDINADO"</formula>
    </cfRule>
  </conditionalFormatting>
  <hyperlinks>
    <hyperlink ref="E13" r:id="rId1" xr:uid="{00000000-0004-0000-0000-000000000000}"/>
    <hyperlink ref="E14" r:id="rId2" xr:uid="{00000000-0004-0000-0000-000001000000}"/>
    <hyperlink ref="E17" r:id="rId3" xr:uid="{00000000-0004-0000-0000-000002000000}"/>
    <hyperlink ref="E22" r:id="rId4" xr:uid="{00000000-0004-0000-0000-000006000000}"/>
    <hyperlink ref="E25" r:id="rId5" xr:uid="{00000000-0004-0000-0000-000007000000}"/>
    <hyperlink ref="E26" r:id="rId6" xr:uid="{00000000-0004-0000-0000-000008000000}"/>
    <hyperlink ref="E29" r:id="rId7" xr:uid="{00000000-0004-0000-0000-00000A000000}"/>
    <hyperlink ref="E30" r:id="rId8" xr:uid="{00000000-0004-0000-0000-00000C000000}"/>
    <hyperlink ref="E33" r:id="rId9" xr:uid="{00000000-0004-0000-0000-00000D000000}"/>
    <hyperlink ref="E34" r:id="rId10" xr:uid="{00000000-0004-0000-0000-00000E000000}"/>
    <hyperlink ref="E38" r:id="rId11" xr:uid="{00000000-0004-0000-0000-000010000000}"/>
    <hyperlink ref="E41" r:id="rId12" xr:uid="{00000000-0004-0000-0000-000011000000}"/>
    <hyperlink ref="E42" r:id="rId13" xr:uid="{00000000-0004-0000-0000-000012000000}"/>
    <hyperlink ref="E43" r:id="rId14" xr:uid="{00000000-0004-0000-0000-000013000000}"/>
    <hyperlink ref="E47" r:id="rId15" xr:uid="{00000000-0004-0000-0000-000016000000}"/>
    <hyperlink ref="E52" r:id="rId16" xr:uid="{00000000-0004-0000-0000-000019000000}"/>
    <hyperlink ref="E55" r:id="rId17" xr:uid="{00000000-0004-0000-0000-00001A000000}"/>
    <hyperlink ref="E56" r:id="rId18" xr:uid="{00000000-0004-0000-0000-00001B000000}"/>
    <hyperlink ref="E57" r:id="rId19" xr:uid="{2D6A876D-94EA-440E-ACF2-F686D4BC809C}"/>
    <hyperlink ref="E21" r:id="rId20" xr:uid="{7399A17C-3AB3-441A-A881-006CF5188D0F}"/>
    <hyperlink ref="E51" r:id="rId21" xr:uid="{32A50C87-5B84-4F1F-A354-10C9C8A1BC91}"/>
  </hyperlinks>
  <pageMargins left="0.4" right="0.4" top="1" bottom="1" header="0.511811023622047" footer="0.5"/>
  <pageSetup fitToHeight="0" orientation="landscape" horizontalDpi="300" verticalDpi="300"/>
  <headerFooter>
    <oddFooter>&amp;L&amp;8 &amp;K808080Mr. Lana · Recursos Humanos&amp;R&amp;8 &amp;K808080Página &amp;P de &amp;N</oddFooter>
  </headerFooter>
  <rowBreaks count="2" manualBreakCount="2">
    <brk id="27" max="16383" man="1"/>
    <brk id="48" max="16383" man="1"/>
  </rowBreaks>
  <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25C54"/>
    <pageSetUpPr fitToPage="1"/>
  </sheetPr>
  <dimension ref="A1:H26"/>
  <sheetViews>
    <sheetView showGridLines="0" zoomScaleNormal="100" workbookViewId="0">
      <selection activeCell="N19" sqref="N19"/>
    </sheetView>
  </sheetViews>
  <sheetFormatPr baseColWidth="10" defaultColWidth="8.7109375" defaultRowHeight="15" x14ac:dyDescent="0.25"/>
  <cols>
    <col min="1" max="1" width="3" customWidth="1"/>
    <col min="2" max="2" width="26" customWidth="1"/>
    <col min="3" max="6" width="16" customWidth="1"/>
    <col min="7" max="7" width="14" customWidth="1"/>
    <col min="8" max="8" width="3" customWidth="1"/>
  </cols>
  <sheetData>
    <row r="1" spans="1:8" ht="6.75" customHeight="1" x14ac:dyDescent="0.25">
      <c r="A1" s="1"/>
      <c r="B1" s="2"/>
      <c r="C1" s="3"/>
      <c r="D1" s="17"/>
      <c r="E1" s="5"/>
      <c r="F1" s="18"/>
      <c r="G1" s="6"/>
      <c r="H1" s="19"/>
    </row>
    <row r="2" spans="1:8" ht="27.75" customHeight="1" x14ac:dyDescent="0.25">
      <c r="A2" s="41" t="s">
        <v>89</v>
      </c>
      <c r="B2" s="41"/>
      <c r="C2" s="41"/>
      <c r="D2" s="41"/>
      <c r="E2" s="41"/>
      <c r="F2" s="41"/>
      <c r="G2" s="41"/>
      <c r="H2" s="41"/>
    </row>
    <row r="3" spans="1:8" ht="18.75" customHeight="1" x14ac:dyDescent="0.25">
      <c r="A3" s="42" t="s">
        <v>90</v>
      </c>
      <c r="B3" s="42"/>
      <c r="C3" s="42"/>
      <c r="D3" s="42"/>
      <c r="E3" s="42"/>
      <c r="F3" s="42"/>
      <c r="G3" s="42"/>
      <c r="H3" s="42"/>
    </row>
    <row r="4" spans="1:8" ht="3.75" customHeight="1" x14ac:dyDescent="0.25">
      <c r="A4" s="7"/>
      <c r="B4" s="7"/>
      <c r="C4" s="7"/>
      <c r="D4" s="7"/>
      <c r="E4" s="7"/>
      <c r="F4" s="7"/>
      <c r="G4" s="7"/>
      <c r="H4" s="7"/>
    </row>
    <row r="6" spans="1:8" ht="7.5" customHeight="1" x14ac:dyDescent="0.25"/>
    <row r="7" spans="1:8" ht="33.75" customHeight="1" x14ac:dyDescent="0.25">
      <c r="B7" s="20">
        <f>COUNTA(Directorio!B12:B56)</f>
        <v>24</v>
      </c>
      <c r="C7" s="21">
        <f>SUMPRODUCT((Directorio!C12:C56&lt;&gt;"")/COUNTIF(Directorio!C12:C56,Directorio!C12:C56&amp;""))</f>
        <v>11.000000000000002</v>
      </c>
      <c r="D7" s="22">
        <f>COUNTIF(Directorio!D12:D56,"GERENTE")+COUNTIF(Directorio!D12:D56,"GERENTE REGIONAL")</f>
        <v>8</v>
      </c>
      <c r="E7" s="23">
        <f>COUNTIF(Directorio!D12:D56,"COORDINADO*")</f>
        <v>8</v>
      </c>
      <c r="F7" s="24">
        <f>COUNTIF(Directorio!F12:F56,"SIN REGISTRO")</f>
        <v>2</v>
      </c>
    </row>
    <row r="8" spans="1:8" ht="18" customHeight="1" x14ac:dyDescent="0.25">
      <c r="B8" s="25" t="s">
        <v>91</v>
      </c>
      <c r="C8" s="25" t="s">
        <v>92</v>
      </c>
      <c r="D8" s="25" t="s">
        <v>93</v>
      </c>
      <c r="E8" s="25" t="s">
        <v>94</v>
      </c>
      <c r="F8" s="25" t="s">
        <v>95</v>
      </c>
    </row>
    <row r="10" spans="1:8" x14ac:dyDescent="0.25">
      <c r="B10" s="26" t="s">
        <v>96</v>
      </c>
    </row>
    <row r="11" spans="1:8" ht="30" customHeight="1" x14ac:dyDescent="0.25">
      <c r="B11" s="27" t="s">
        <v>5</v>
      </c>
      <c r="C11" s="27" t="s">
        <v>77</v>
      </c>
      <c r="D11" s="27" t="s">
        <v>21</v>
      </c>
      <c r="E11" s="27" t="s">
        <v>12</v>
      </c>
      <c r="F11" s="27" t="s">
        <v>97</v>
      </c>
      <c r="G11" s="27" t="s">
        <v>98</v>
      </c>
    </row>
    <row r="12" spans="1:8" ht="18.75" customHeight="1" x14ac:dyDescent="0.25">
      <c r="B12" s="28" t="s">
        <v>11</v>
      </c>
      <c r="C12" s="15">
        <f>COUNTIFS(Directorio!$C$12:$C$56,$B12,Directorio!$D$12:$D$56,"GERENTE REGIONAL")</f>
        <v>0</v>
      </c>
      <c r="D12" s="15">
        <f>COUNTIFS(Directorio!$C$12:$C$56,$B12,Directorio!$D$12:$D$56,"GERENTE")</f>
        <v>0</v>
      </c>
      <c r="E12" s="15">
        <f>COUNTIFS(Directorio!$C$12:$C$56,$B12,Directorio!$D$12:$D$56,"SUBGERENTE")</f>
        <v>1</v>
      </c>
      <c r="F12" s="15">
        <f>COUNTIFS(Directorio!$C$12:$C$56,$B12,Directorio!$D$12:$D$56,"COORDINADO*")</f>
        <v>1</v>
      </c>
      <c r="G12" s="29">
        <f t="shared" ref="G12:G22" si="0">SUM(C12:F12)</f>
        <v>2</v>
      </c>
    </row>
    <row r="13" spans="1:8" ht="18.75" customHeight="1" x14ac:dyDescent="0.25">
      <c r="B13" s="28" t="s">
        <v>20</v>
      </c>
      <c r="C13" s="15">
        <f>COUNTIFS(Directorio!$C$12:$C$56,$B13,Directorio!$D$12:$D$56,"GERENTE REGIONAL")</f>
        <v>0</v>
      </c>
      <c r="D13" s="15">
        <f>COUNTIFS(Directorio!$C$12:$C$56,$B13,Directorio!$D$12:$D$56,"GERENTE")</f>
        <v>1</v>
      </c>
      <c r="E13" s="15">
        <f>COUNTIFS(Directorio!$C$12:$C$56,$B13,Directorio!$D$12:$D$56,"SUBGERENTE")</f>
        <v>1</v>
      </c>
      <c r="F13" s="15">
        <f>COUNTIFS(Directorio!$C$12:$C$56,$B13,Directorio!$D$12:$D$56,"COORDINADO*")</f>
        <v>0</v>
      </c>
      <c r="G13" s="29">
        <f t="shared" si="0"/>
        <v>2</v>
      </c>
    </row>
    <row r="14" spans="1:8" ht="18.75" customHeight="1" x14ac:dyDescent="0.25">
      <c r="B14" s="28" t="s">
        <v>25</v>
      </c>
      <c r="C14" s="15">
        <f>COUNTIFS(Directorio!$C$12:$C$56,$B14,Directorio!$D$12:$D$56,"GERENTE REGIONAL")</f>
        <v>0</v>
      </c>
      <c r="D14" s="15">
        <f>COUNTIFS(Directorio!$C$12:$C$56,$B14,Directorio!$D$12:$D$56,"GERENTE")</f>
        <v>0</v>
      </c>
      <c r="E14" s="15">
        <f>COUNTIFS(Directorio!$C$12:$C$56,$B14,Directorio!$D$12:$D$56,"SUBGERENTE")</f>
        <v>1</v>
      </c>
      <c r="F14" s="15">
        <f>COUNTIFS(Directorio!$C$12:$C$56,$B14,Directorio!$D$12:$D$56,"COORDINADO*")</f>
        <v>1</v>
      </c>
      <c r="G14" s="29">
        <f t="shared" si="0"/>
        <v>2</v>
      </c>
    </row>
    <row r="15" spans="1:8" ht="18.75" customHeight="1" x14ac:dyDescent="0.25">
      <c r="B15" s="28" t="s">
        <v>31</v>
      </c>
      <c r="C15" s="15">
        <f>COUNTIFS(Directorio!$C$12:$C$56,$B15,Directorio!$D$12:$D$56,"GERENTE REGIONAL")</f>
        <v>0</v>
      </c>
      <c r="D15" s="15">
        <f>COUNTIFS(Directorio!$C$12:$C$56,$B15,Directorio!$D$12:$D$56,"GERENTE")</f>
        <v>1</v>
      </c>
      <c r="E15" s="15">
        <f>COUNTIFS(Directorio!$C$12:$C$56,$B15,Directorio!$D$12:$D$56,"SUBGERENTE")</f>
        <v>1</v>
      </c>
      <c r="F15" s="15">
        <f>COUNTIFS(Directorio!$C$12:$C$56,$B15,Directorio!$D$12:$D$56,"COORDINADO*")</f>
        <v>0</v>
      </c>
      <c r="G15" s="29">
        <f t="shared" si="0"/>
        <v>2</v>
      </c>
    </row>
    <row r="16" spans="1:8" ht="18.75" customHeight="1" x14ac:dyDescent="0.25">
      <c r="B16" s="28" t="s">
        <v>39</v>
      </c>
      <c r="C16" s="15">
        <f>COUNTIFS(Directorio!$C$12:$C$56,$B16,Directorio!$D$12:$D$56,"GERENTE REGIONAL")</f>
        <v>0</v>
      </c>
      <c r="D16" s="15">
        <f>COUNTIFS(Directorio!$C$12:$C$56,$B16,Directorio!$D$12:$D$56,"GERENTE")</f>
        <v>1</v>
      </c>
      <c r="E16" s="15">
        <f>COUNTIFS(Directorio!$C$12:$C$56,$B16,Directorio!$D$12:$D$56,"SUBGERENTE")</f>
        <v>0</v>
      </c>
      <c r="F16" s="15">
        <f>COUNTIFS(Directorio!$C$12:$C$56,$B16,Directorio!$D$12:$D$56,"COORDINADO*")</f>
        <v>1</v>
      </c>
      <c r="G16" s="29">
        <f t="shared" si="0"/>
        <v>2</v>
      </c>
    </row>
    <row r="17" spans="2:7" ht="18.75" customHeight="1" x14ac:dyDescent="0.25">
      <c r="B17" s="28" t="s">
        <v>46</v>
      </c>
      <c r="C17" s="15">
        <f>COUNTIFS(Directorio!$C$12:$C$56,$B17,Directorio!$D$12:$D$56,"GERENTE REGIONAL")</f>
        <v>0</v>
      </c>
      <c r="D17" s="15">
        <f>COUNTIFS(Directorio!$C$12:$C$56,$B17,Directorio!$D$12:$D$56,"GERENTE")</f>
        <v>1</v>
      </c>
      <c r="E17" s="15">
        <f>COUNTIFS(Directorio!$C$12:$C$56,$B17,Directorio!$D$12:$D$56,"SUBGERENTE")</f>
        <v>0</v>
      </c>
      <c r="F17" s="15">
        <f>COUNTIFS(Directorio!$C$12:$C$56,$B17,Directorio!$D$12:$D$56,"COORDINADO*")</f>
        <v>1</v>
      </c>
      <c r="G17" s="29">
        <f t="shared" si="0"/>
        <v>2</v>
      </c>
    </row>
    <row r="18" spans="2:7" ht="18.75" customHeight="1" x14ac:dyDescent="0.25">
      <c r="B18" s="28" t="s">
        <v>51</v>
      </c>
      <c r="C18" s="15">
        <f>COUNTIFS(Directorio!$C$12:$C$56,$B18,Directorio!$D$12:$D$56,"GERENTE REGIONAL")</f>
        <v>0</v>
      </c>
      <c r="D18" s="15">
        <f>COUNTIFS(Directorio!$C$12:$C$56,$B18,Directorio!$D$12:$D$56,"GERENTE")</f>
        <v>1</v>
      </c>
      <c r="E18" s="15">
        <f>COUNTIFS(Directorio!$C$12:$C$56,$B18,Directorio!$D$12:$D$56,"SUBGERENTE")</f>
        <v>0</v>
      </c>
      <c r="F18" s="15">
        <f>COUNTIFS(Directorio!$C$12:$C$56,$B18,Directorio!$D$12:$D$56,"COORDINADO*")</f>
        <v>1</v>
      </c>
      <c r="G18" s="29">
        <f t="shared" si="0"/>
        <v>2</v>
      </c>
    </row>
    <row r="19" spans="2:7" ht="18.75" customHeight="1" x14ac:dyDescent="0.25">
      <c r="B19" s="28" t="s">
        <v>56</v>
      </c>
      <c r="C19" s="15">
        <f>COUNTIFS(Directorio!$C$12:$C$56,$B19,Directorio!$D$12:$D$56,"GERENTE REGIONAL")</f>
        <v>0</v>
      </c>
      <c r="D19" s="15">
        <f>COUNTIFS(Directorio!$C$12:$C$56,$B19,Directorio!$D$12:$D$56,"GERENTE")</f>
        <v>1</v>
      </c>
      <c r="E19" s="15">
        <f>COUNTIFS(Directorio!$C$12:$C$56,$B19,Directorio!$D$12:$D$56,"SUBGERENTE")</f>
        <v>1</v>
      </c>
      <c r="F19" s="15">
        <f>COUNTIFS(Directorio!$C$12:$C$56,$B19,Directorio!$D$12:$D$56,"COORDINADO*")</f>
        <v>1</v>
      </c>
      <c r="G19" s="29">
        <f t="shared" si="0"/>
        <v>3</v>
      </c>
    </row>
    <row r="20" spans="2:7" ht="18.75" customHeight="1" x14ac:dyDescent="0.25">
      <c r="B20" s="28" t="s">
        <v>65</v>
      </c>
      <c r="C20" s="15">
        <f>COUNTIFS(Directorio!$C$12:$C$56,$B20,Directorio!$D$12:$D$56,"GERENTE REGIONAL")</f>
        <v>0</v>
      </c>
      <c r="D20" s="15">
        <f>COUNTIFS(Directorio!$C$12:$C$56,$B20,Directorio!$D$12:$D$56,"GERENTE")</f>
        <v>0</v>
      </c>
      <c r="E20" s="15">
        <f>COUNTIFS(Directorio!$C$12:$C$56,$B20,Directorio!$D$12:$D$56,"SUBGERENTE")</f>
        <v>1</v>
      </c>
      <c r="F20" s="15">
        <f>COUNTIFS(Directorio!$C$12:$C$56,$B20,Directorio!$D$12:$D$56,"COORDINADO*")</f>
        <v>1</v>
      </c>
      <c r="G20" s="29">
        <f t="shared" si="0"/>
        <v>2</v>
      </c>
    </row>
    <row r="21" spans="2:7" ht="18.75" customHeight="1" x14ac:dyDescent="0.25">
      <c r="B21" s="28" t="s">
        <v>70</v>
      </c>
      <c r="C21" s="15">
        <f>COUNTIFS(Directorio!$C$12:$C$56,$B21,Directorio!$D$12:$D$56,"GERENTE REGIONAL")</f>
        <v>0</v>
      </c>
      <c r="D21" s="15">
        <f>COUNTIFS(Directorio!$C$12:$C$56,$B21,Directorio!$D$12:$D$56,"GERENTE")</f>
        <v>0</v>
      </c>
      <c r="E21" s="15">
        <f>COUNTIFS(Directorio!$C$12:$C$56,$B21,Directorio!$D$12:$D$56,"SUBGERENTE")</f>
        <v>1</v>
      </c>
      <c r="F21" s="15">
        <f>COUNTIFS(Directorio!$C$12:$C$56,$B21,Directorio!$D$12:$D$56,"COORDINADO*")</f>
        <v>1</v>
      </c>
      <c r="G21" s="29">
        <f t="shared" si="0"/>
        <v>2</v>
      </c>
    </row>
    <row r="22" spans="2:7" ht="18.75" customHeight="1" x14ac:dyDescent="0.25">
      <c r="B22" s="28" t="s">
        <v>76</v>
      </c>
      <c r="C22" s="15">
        <f>COUNTIFS(Directorio!$C$12:$C$56,$B22,Directorio!$D$12:$D$56,"GERENTE REGIONAL")</f>
        <v>1</v>
      </c>
      <c r="D22" s="15">
        <f>COUNTIFS(Directorio!$C$12:$C$56,$B22,Directorio!$D$12:$D$56,"GERENTE")</f>
        <v>1</v>
      </c>
      <c r="E22" s="15">
        <f>COUNTIFS(Directorio!$C$12:$C$56,$B22,Directorio!$D$12:$D$56,"SUBGERENTE")</f>
        <v>0</v>
      </c>
      <c r="F22" s="15">
        <f>COUNTIFS(Directorio!$C$12:$C$56,$B22,Directorio!$D$12:$D$56,"COORDINADO*")</f>
        <v>0</v>
      </c>
      <c r="G22" s="29">
        <f t="shared" si="0"/>
        <v>2</v>
      </c>
    </row>
    <row r="23" spans="2:7" ht="21.75" customHeight="1" x14ac:dyDescent="0.25">
      <c r="B23" s="30" t="s">
        <v>99</v>
      </c>
      <c r="C23" s="31">
        <f>SUM(C12:C22)</f>
        <v>1</v>
      </c>
      <c r="D23" s="31">
        <f>SUM(D12:D22)</f>
        <v>7</v>
      </c>
      <c r="E23" s="31">
        <f>SUM(E12:E22)</f>
        <v>7</v>
      </c>
      <c r="F23" s="31">
        <f>SUM(F12:F22)</f>
        <v>8</v>
      </c>
      <c r="G23" s="31">
        <f>SUM(G12:G22)</f>
        <v>23</v>
      </c>
    </row>
    <row r="25" spans="2:7" x14ac:dyDescent="0.25">
      <c r="B25" s="43" t="s">
        <v>100</v>
      </c>
      <c r="C25" s="43"/>
      <c r="D25" s="43"/>
      <c r="E25" s="43"/>
      <c r="F25" s="43"/>
      <c r="G25" s="43"/>
    </row>
    <row r="26" spans="2:7" x14ac:dyDescent="0.25">
      <c r="B26" s="43" t="s">
        <v>101</v>
      </c>
      <c r="C26" s="43"/>
      <c r="D26" s="43"/>
      <c r="E26" s="43"/>
      <c r="F26" s="43"/>
      <c r="G26" s="43"/>
    </row>
  </sheetData>
  <mergeCells count="4">
    <mergeCell ref="A2:H2"/>
    <mergeCell ref="A3:H3"/>
    <mergeCell ref="B25:G25"/>
    <mergeCell ref="B26:G26"/>
  </mergeCells>
  <conditionalFormatting sqref="C12:F22">
    <cfRule type="cellIs" dxfId="1" priority="2" operator="equal">
      <formula>0</formula>
    </cfRule>
    <cfRule type="cellIs" dxfId="0" priority="3" operator="greaterThanOrEqual">
      <formula>1</formula>
    </cfRule>
  </conditionalFormatting>
  <conditionalFormatting sqref="G12:G22">
    <cfRule type="dataBar" priority="4">
      <dataBar>
        <cfvo type="num" val="0"/>
        <cfvo type="num" val="4"/>
        <color rgb="FF225C54"/>
      </dataBar>
      <extLst>
        <ext xmlns:x14="http://schemas.microsoft.com/office/spreadsheetml/2009/9/main" uri="{B025F937-C7B1-47D3-B67F-A62EFF666E3E}">
          <x14:id>{CAD2D18C-4199-4214-B4F6-A028F72080E5}</x14:id>
        </ext>
      </extLst>
    </cfRule>
  </conditionalFormatting>
  <pageMargins left="0.75" right="0.75" top="1" bottom="1" header="0.511811023622047" footer="0.5"/>
  <pageSetup fitToHeight="0" orientation="portrait" horizontalDpi="300" verticalDpi="300"/>
  <headerFooter>
    <oddFooter>&amp;L&amp;8 Mr. Lana · Recursos Humanos&amp;R&amp;8 Página &amp;P de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D2D18C-4199-4214-B4F6-A028F72080E5}">
            <x14:dataBar axisPosition="none">
              <x14:cfvo type="num">
                <xm:f>0</xm:f>
              </x14:cfvo>
              <x14:cfvo type="num">
                <xm:f>4</xm:f>
              </x14:cfvo>
              <x14:negativeFillColor rgb="FF225C54"/>
            </x14:dataBar>
          </x14:cfRule>
          <xm:sqref>G12:G22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Directorio</vt:lpstr>
      <vt:lpstr>Resumen</vt:lpstr>
      <vt:lpstr>Directorio!Área_de_impresión</vt:lpstr>
      <vt:lpstr>Directorio!Títulos_a_imprimir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Directorio de Gerencias y Coordinaciones · Mr. Lana</dc:title>
  <dc:subject/>
  <dc:creator>Gerencia de Recursos Humanos · Productos y Servicios Mr. Lana, S.A.P.I. de C.V.</dc:creator>
  <dc:description/>
  <cp:lastModifiedBy>Jesus Arizmendi</cp:lastModifiedBy>
  <cp:revision>0</cp:revision>
  <dcterms:created xsi:type="dcterms:W3CDTF">2026-07-23T22:05:42Z</dcterms:created>
  <dcterms:modified xsi:type="dcterms:W3CDTF">2026-10-16T06:25:08Z</dcterms:modified>
  <dc:language>en-US</dc:language>
</cp:coreProperties>
</file>